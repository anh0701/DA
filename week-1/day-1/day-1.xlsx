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Note" sheetId="1" state="visible" r:id="rId2"/>
    <sheet name="Data" sheetId="2" state="visible" r:id="rId3"/>
    <sheet name="Question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<sst xmlns="http://schemas.openxmlformats.org/spreadsheetml/2006/main" count="118" uniqueCount="88">
  <si>
    <t xml:space="preserve">1. Khi có vấn đề, DA sẽ phải hiểu data, tự đặt ra các câu hỏi để giải quyết vấn đề, vì sao giảm/tăng, giảm/tăng so với thời gian nào, nó giảm/tăng bao nhiêu,...tìm ra nguyên nhân chứ không chỉ query data</t>
  </si>
  <si>
    <t xml:space="preserve">2. Data là những dữ liệu thô được ghi nhân từ hoạt động của hệ thống/business</t>
  </si>
  <si>
    <t xml:space="preserve">3. Measure là một giá trị có thể đo lường/tính toán từ dữ liệu. Measure trả lời cho câu hỏi “bao nhiêu”</t>
  </si>
  <si>
    <t xml:space="preserve">4. Dimension trả lời cho câu hỏi “theo cái gì”</t>
  </si>
  <si>
    <t xml:space="preserve">5. Metric rộng nghĩa hơn Measure, là một chỉ số được dùng để theo dõi/đánh giá một khía cạnh nào đó, Raw data sau khi tính toán sẽ tạo ra Metric</t>
  </si>
  <si>
    <t xml:space="preserve">6. KPI là Key Performance Indicator, chỉ số sau tính toán là Metric nhưng nó dùng để đánh giá performance thì nó thành KPI</t>
  </si>
  <si>
    <t xml:space="preserve">7. Granularity là mức độ chi tiết của một record</t>
  </si>
  <si>
    <t xml:space="preserve">8. Fact là những sự kiện/giao dịch phát sinh trong quá trình sản xuất kinh doanh</t>
  </si>
  <si>
    <t xml:space="preserve">9. Dimensions là thông tin mô tả, bối cảnh xung quanh thông tin giao dịch trong bảng Fact</t>
  </si>
  <si>
    <t xml:space="preserve">order_id</t>
  </si>
  <si>
    <t xml:space="preserve">date</t>
  </si>
  <si>
    <t xml:space="preserve">customer</t>
  </si>
  <si>
    <t xml:space="preserve">product</t>
  </si>
  <si>
    <t xml:space="preserve">category</t>
  </si>
  <si>
    <t xml:space="preserve">quantity</t>
  </si>
  <si>
    <t xml:space="preserve">price</t>
  </si>
  <si>
    <t xml:space="preserve">region</t>
  </si>
  <si>
    <t xml:space="preserve">O001</t>
  </si>
  <si>
    <t xml:space="preserve">C001</t>
  </si>
  <si>
    <t xml:space="preserve">Laptop</t>
  </si>
  <si>
    <t xml:space="preserve">Electronics</t>
  </si>
  <si>
    <t xml:space="preserve">North</t>
  </si>
  <si>
    <t xml:space="preserve">O002</t>
  </si>
  <si>
    <t xml:space="preserve">C002</t>
  </si>
  <si>
    <t xml:space="preserve">Mouse</t>
  </si>
  <si>
    <t xml:space="preserve">Accessories</t>
  </si>
  <si>
    <t xml:space="preserve">South</t>
  </si>
  <si>
    <t xml:space="preserve">O003</t>
  </si>
  <si>
    <t xml:space="preserve">Keyboard</t>
  </si>
  <si>
    <t xml:space="preserve">O004</t>
  </si>
  <si>
    <t xml:space="preserve">C003</t>
  </si>
  <si>
    <t xml:space="preserve">O005</t>
  </si>
  <si>
    <t xml:space="preserve">Monitor</t>
  </si>
  <si>
    <t xml:space="preserve">O006</t>
  </si>
  <si>
    <t xml:space="preserve">C004</t>
  </si>
  <si>
    <t xml:space="preserve">Giả sử: Revenue = quantity × price</t>
  </si>
  <si>
    <t xml:space="preserve">Task 1</t>
  </si>
  <si>
    <t xml:space="preserve">Dimension nào xuất hiện trong bảng?</t>
  </si>
  <si>
    <t xml:space="preserve">date, product, category, region, customer</t>
  </si>
  <si>
    <t xml:space="preserve">Task 2</t>
  </si>
  <si>
    <t xml:space="preserve">Xác định các measure có thể tính.</t>
  </si>
  <si>
    <t xml:space="preserve">revenue, total quantity, total revenue</t>
  </si>
  <si>
    <t xml:space="preserve">Task 3</t>
  </si>
  <si>
    <t xml:space="preserve">Hãy đưa ra 5 câu hỏi business mà Data Analyst có thể trả lời từ dataset này.</t>
  </si>
  <si>
    <t xml:space="preserve">region nào tạo ra nhiều revenue nhất/ region nào tạo ít revenue nhất / Product nào được mua nhiều nhất / Ngày nào có revenue nhiều nhất/ Ngày nào có revenue ít nhất / Xu hướng mua product trong tháng 1 </t>
  </si>
  <si>
    <t xml:space="preserve">Task 4</t>
  </si>
  <si>
    <t xml:space="preserve">Tính:</t>
  </si>
  <si>
    <t xml:space="preserve">Revenue của O001</t>
  </si>
  <si>
    <t xml:space="preserve">N</t>
  </si>
  <si>
    <t xml:space="preserve">Revenue của O002</t>
  </si>
  <si>
    <t xml:space="preserve">S</t>
  </si>
  <si>
    <t xml:space="preserve">Revenue của O003</t>
  </si>
  <si>
    <t xml:space="preserve">Revenue của O004</t>
  </si>
  <si>
    <t xml:space="preserve">Revenue của O005</t>
  </si>
  <si>
    <t xml:space="preserve">Revenue của O006</t>
  </si>
  <si>
    <t xml:space="preserve">Công thức: Revenue = Quantity × Price</t>
  </si>
  <si>
    <t xml:space="preserve">Sau đó tính:</t>
  </si>
  <si>
    <t xml:space="preserve">Total Revenue</t>
  </si>
  <si>
    <t xml:space="preserve">Total Quantity</t>
  </si>
  <si>
    <t xml:space="preserve">Task 5</t>
  </si>
  <si>
    <t xml:space="preserve">"Region nào đang tạo ra nhiều revenue nhất?"</t>
  </si>
  <si>
    <t xml:space="preserve">1. Data Analyst khác Software Developer ở điểm nào về mục tiêu công việc?</t>
  </si>
  <si>
    <t xml:space="preserve">Data Analyst: dùng dữ liệu để trả lời câu hỏi business, tìm insight và hỗ trợ ra quyết định.</t>
  </si>
  <si>
    <t xml:space="preserve">Software Developer: xây dựng và duy trì software/system để đáp ứng yêu cầu.</t>
  </si>
  <si>
    <t xml:space="preserve">2. Revenue là measure hay dimension?</t>
  </si>
  <si>
    <t xml:space="preserve">measure</t>
  </si>
  <si>
    <t xml:space="preserve">3. Region là measure hay dimension?</t>
  </si>
  <si>
    <t xml:space="preserve">dimension</t>
  </si>
  <si>
    <t xml:space="preserve">4. KPI khác metric như thế nào?</t>
  </si>
  <si>
    <t xml:space="preserve">Metric = một chỉ số dùng để đo lường một khía cạnh nào đó.</t>
  </si>
  <si>
    <t xml:space="preserve">KPI = một metric quan trọng được gắn với mục tiêu/business objective   và dùng để đánh giá performance.</t>
  </si>
  <si>
    <t xml:space="preserve">5. Granularity của bảng orders nếu mỗi dòng là một order là gì?</t>
  </si>
  <si>
    <t xml:space="preserve">Granularity của bảng là one row per order.</t>
  </si>
  <si>
    <t xml:space="preserve">6. Nếu một order có 5 sản phẩm và sau JOIN bảng order items thì order đó xuất hiện mấy dòng?</t>
  </si>
  <si>
    <t xml:space="preserve">5 dòng</t>
  </si>
  <si>
    <t xml:space="preserve">7. Tại sao việc biết granularity quan trọng khi phân tích dữ liệu?</t>
  </si>
  <si>
    <t xml:space="preserve">Granularity → trước khi phân tích phải biết một row đại diện cho cái gì.</t>
  </si>
  <si>
    <t xml:space="preserve">để biết được độ chi tiết của dữ liệu, Vì nếu không biết granularity, bạn rất dễ tính sai metric. Always understand the granularity before calculating metrics.</t>
  </si>
  <si>
    <t xml:space="preserve">8. Từ bảng trên, hãy đưa ra 5 business questions mà một Data Analyst có thể phân tích.</t>
  </si>
  <si>
    <t xml:space="preserve">9. Câu hỏi tổng kết. Có bảng:  order_items  với granularity:  one row = one product in one order</t>
  </si>
  <si>
    <t xml:space="preserve">20M</t>
  </si>
  <si>
    <t xml:space="preserve">500K</t>
  </si>
  <si>
    <t xml:space="preserve">1M</t>
  </si>
  <si>
    <t xml:space="preserve">22M</t>
  </si>
  <si>
    <t xml:space="preserve">Manager hỏi:  "Có bao nhiêu orders và tổng revenue là bao nhiêu?"  </t>
  </si>
  <si>
    <t xml:space="preserve">Theo bạn, có vấn đề gì nếu Data Analyst chỉ dùng:  COUNT(order_id)  để đếm số order?  Và cần suy nghĩ thế nào để tính đúng?</t>
  </si>
  <si>
    <t xml:space="preserve">một row ở đây biểu diễn một product, trong 1 order nên nếu order nhiều product thì sẽ có rất nhiều dòng, để tính đúng phải đếm id nhưng đếm distinct</t>
  </si>
  <si>
    <t xml:space="preserve">SELECT     COUNT(DISTINCT order_id) AS total_orders,     SUM(quantity * price) AS total_revenue FROM order_items;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</si>
</sst>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C9211E"/>
      <name val="Arial"/>
      <family val="0"/>
      <charset val="1"/>
    </font>
    <font>
      <sz val="10"/>
      <color rgb="FFFF4000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40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9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G11" activeCellId="0" sqref="G11"/>
    </sheetView>
  </sheetViews>
  <sheetFormatPr defaultColWidth="12.6328125" defaultRowHeight="15.75" zeroHeight="false" outlineLevelRow="0" outlineLevelCol="0"/>
  <sheetData>
    <row r="1" customFormat="false" ht="15.75" hidden="false" customHeight="true" outlineLevel="0" collapsed="false">
      <c r="A1" s="1" t="s">
        <v>0</v>
      </c>
    </row>
    <row r="2" customFormat="false" ht="15.75" hidden="false" customHeight="true" outlineLevel="0" collapsed="false">
      <c r="A2" s="1" t="s">
        <v>1</v>
      </c>
    </row>
    <row r="3" customFormat="false" ht="15.75" hidden="false" customHeight="true" outlineLevel="0" collapsed="false">
      <c r="A3" s="1" t="s">
        <v>2</v>
      </c>
    </row>
    <row r="4" customFormat="false" ht="15.75" hidden="false" customHeight="true" outlineLevel="0" collapsed="false">
      <c r="A4" s="1" t="s">
        <v>3</v>
      </c>
    </row>
    <row r="5" customFormat="false" ht="15.75" hidden="false" customHeight="true" outlineLevel="0" collapsed="false">
      <c r="A5" s="1" t="s">
        <v>4</v>
      </c>
    </row>
    <row r="6" customFormat="false" ht="15.75" hidden="false" customHeight="true" outlineLevel="0" collapsed="false">
      <c r="A6" s="1" t="s">
        <v>5</v>
      </c>
    </row>
    <row r="7" customFormat="false" ht="15.75" hidden="false" customHeight="true" outlineLevel="0" collapsed="false">
      <c r="A7" s="1" t="s">
        <v>6</v>
      </c>
    </row>
    <row r="8" customFormat="false" ht="15.75" hidden="false" customHeight="true" outlineLevel="0" collapsed="false">
      <c r="A8" s="1" t="s">
        <v>7</v>
      </c>
    </row>
    <row r="9" customFormat="false" ht="15.75" hidden="false" customHeight="true" outlineLevel="0" collapsed="false">
      <c r="A9" s="1" t="s">
        <v>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true" showRowColHeaders="true" showZeros="true" rightToLeft="false" tabSelected="false" showOutlineSymbols="true" defaultGridColor="true" view="normal" topLeftCell="A1" colorId="64" zoomScale="167" zoomScaleNormal="167" zoomScalePageLayoutView="100" workbookViewId="0">
      <selection pane="topLeft" activeCell="H14" activeCellId="0" sqref="H14"/>
    </sheetView>
  </sheetViews>
  <sheetFormatPr defaultColWidth="12.6328125" defaultRowHeight="15.75" zeroHeight="false" outlineLevelRow="0" outlineLevelCol="0"/>
  <sheetData>
    <row r="1" customFormat="false" ht="23.25" hidden="false" customHeight="true" outlineLevel="0" collapsed="false">
      <c r="A1" s="2" t="s">
        <v>9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Format="false" ht="15.75" hidden="false" customHeight="false" outlineLevel="0" collapsed="false">
      <c r="A2" s="4" t="s">
        <v>17</v>
      </c>
      <c r="B2" s="5" t="n">
        <v>46024</v>
      </c>
      <c r="C2" s="4" t="s">
        <v>18</v>
      </c>
      <c r="D2" s="6" t="s">
        <v>19</v>
      </c>
      <c r="E2" s="6" t="s">
        <v>20</v>
      </c>
      <c r="F2" s="4" t="n">
        <v>1</v>
      </c>
      <c r="G2" s="6" t="n">
        <v>20000000</v>
      </c>
      <c r="H2" s="4" t="s">
        <v>21</v>
      </c>
    </row>
    <row r="3" customFormat="false" ht="15.75" hidden="false" customHeight="false" outlineLevel="0" collapsed="false">
      <c r="A3" s="4" t="s">
        <v>22</v>
      </c>
      <c r="B3" s="5" t="n">
        <v>46024</v>
      </c>
      <c r="C3" s="4" t="s">
        <v>23</v>
      </c>
      <c r="D3" s="6" t="s">
        <v>24</v>
      </c>
      <c r="E3" s="6" t="s">
        <v>25</v>
      </c>
      <c r="F3" s="4" t="n">
        <v>2</v>
      </c>
      <c r="G3" s="6" t="n">
        <v>500000</v>
      </c>
      <c r="H3" s="4" t="s">
        <v>26</v>
      </c>
    </row>
    <row r="4" customFormat="false" ht="15.75" hidden="false" customHeight="false" outlineLevel="0" collapsed="false">
      <c r="A4" s="4" t="s">
        <v>27</v>
      </c>
      <c r="B4" s="5" t="n">
        <v>46025</v>
      </c>
      <c r="C4" s="4" t="s">
        <v>18</v>
      </c>
      <c r="D4" s="6" t="s">
        <v>28</v>
      </c>
      <c r="E4" s="6" t="s">
        <v>25</v>
      </c>
      <c r="F4" s="4" t="n">
        <v>1</v>
      </c>
      <c r="G4" s="6" t="n">
        <v>1000000</v>
      </c>
      <c r="H4" s="4" t="s">
        <v>21</v>
      </c>
    </row>
    <row r="5" customFormat="false" ht="15.75" hidden="false" customHeight="false" outlineLevel="0" collapsed="false">
      <c r="A5" s="4" t="s">
        <v>29</v>
      </c>
      <c r="B5" s="5" t="n">
        <v>46026</v>
      </c>
      <c r="C5" s="4" t="s">
        <v>30</v>
      </c>
      <c r="D5" s="6" t="s">
        <v>19</v>
      </c>
      <c r="E5" s="6" t="s">
        <v>20</v>
      </c>
      <c r="F5" s="4" t="n">
        <v>1</v>
      </c>
      <c r="G5" s="6" t="n">
        <v>22000000</v>
      </c>
      <c r="H5" s="4" t="s">
        <v>26</v>
      </c>
    </row>
    <row r="6" customFormat="false" ht="15.75" hidden="false" customHeight="false" outlineLevel="0" collapsed="false">
      <c r="A6" s="4" t="s">
        <v>31</v>
      </c>
      <c r="B6" s="5" t="n">
        <v>46027</v>
      </c>
      <c r="C6" s="4" t="s">
        <v>23</v>
      </c>
      <c r="D6" s="6" t="s">
        <v>32</v>
      </c>
      <c r="E6" s="6" t="s">
        <v>20</v>
      </c>
      <c r="F6" s="4" t="n">
        <v>1</v>
      </c>
      <c r="G6" s="6" t="n">
        <v>5000000</v>
      </c>
      <c r="H6" s="4" t="s">
        <v>26</v>
      </c>
    </row>
    <row r="7" customFormat="false" ht="15.75" hidden="false" customHeight="false" outlineLevel="0" collapsed="false">
      <c r="A7" s="4" t="s">
        <v>33</v>
      </c>
      <c r="B7" s="5" t="n">
        <v>46027</v>
      </c>
      <c r="C7" s="4" t="s">
        <v>34</v>
      </c>
      <c r="D7" s="6" t="s">
        <v>24</v>
      </c>
      <c r="E7" s="6" t="s">
        <v>25</v>
      </c>
      <c r="F7" s="4" t="n">
        <v>3</v>
      </c>
      <c r="G7" s="6" t="n">
        <v>450000</v>
      </c>
      <c r="H7" s="4" t="s">
        <v>21</v>
      </c>
    </row>
    <row r="10" customFormat="false" ht="15.75" hidden="false" customHeight="false" outlineLevel="0" collapsed="false">
      <c r="A10" s="7" t="s">
        <v>35</v>
      </c>
    </row>
    <row r="12" customFormat="false" ht="15.75" hidden="false" customHeight="false" outlineLevel="0" collapsed="false">
      <c r="A12" s="8" t="s">
        <v>36</v>
      </c>
      <c r="B12" s="7" t="s">
        <v>37</v>
      </c>
      <c r="E12" s="9" t="s">
        <v>38</v>
      </c>
    </row>
    <row r="13" customFormat="false" ht="13.8" hidden="false" customHeight="false" outlineLevel="0" collapsed="false">
      <c r="A13" s="8" t="s">
        <v>39</v>
      </c>
      <c r="B13" s="7" t="s">
        <v>40</v>
      </c>
      <c r="E13" s="9" t="s">
        <v>41</v>
      </c>
    </row>
    <row r="14" customFormat="false" ht="15.75" hidden="false" customHeight="false" outlineLevel="0" collapsed="false">
      <c r="A14" s="8" t="s">
        <v>42</v>
      </c>
      <c r="B14" s="7" t="s">
        <v>43</v>
      </c>
      <c r="H14" s="9" t="s">
        <v>44</v>
      </c>
    </row>
    <row r="15" customFormat="false" ht="13.8" hidden="false" customHeight="false" outlineLevel="0" collapsed="false">
      <c r="A15" s="8" t="s">
        <v>45</v>
      </c>
      <c r="B15" s="7" t="s">
        <v>46</v>
      </c>
      <c r="C15" s="7" t="s">
        <v>47</v>
      </c>
      <c r="E15" s="9" t="n">
        <f aca="false">F2*G2</f>
        <v>20000000</v>
      </c>
      <c r="G15" s="1" t="s">
        <v>48</v>
      </c>
      <c r="H15" s="1" t="n">
        <f aca="false">SUMIF(G15:G20,"N",E15:E20)</f>
        <v>22350000</v>
      </c>
    </row>
    <row r="16" customFormat="false" ht="13.8" hidden="false" customHeight="false" outlineLevel="0" collapsed="false">
      <c r="C16" s="7" t="s">
        <v>49</v>
      </c>
      <c r="E16" s="9" t="n">
        <f aca="false">F3*G3</f>
        <v>1000000</v>
      </c>
      <c r="G16" s="1" t="s">
        <v>50</v>
      </c>
      <c r="H16" s="1" t="n">
        <f aca="false">SUMIF(G15:G20,"S",E15:E20)</f>
        <v>28000000</v>
      </c>
    </row>
    <row r="17" customFormat="false" ht="13.8" hidden="false" customHeight="false" outlineLevel="0" collapsed="false">
      <c r="C17" s="7" t="s">
        <v>51</v>
      </c>
      <c r="E17" s="9" t="n">
        <f aca="false">F4*G4</f>
        <v>1000000</v>
      </c>
      <c r="G17" s="1" t="s">
        <v>48</v>
      </c>
    </row>
    <row r="18" customFormat="false" ht="13.8" hidden="false" customHeight="false" outlineLevel="0" collapsed="false">
      <c r="C18" s="7" t="s">
        <v>52</v>
      </c>
      <c r="E18" s="9" t="n">
        <f aca="false">F5*G5</f>
        <v>22000000</v>
      </c>
      <c r="G18" s="1" t="s">
        <v>50</v>
      </c>
    </row>
    <row r="19" customFormat="false" ht="13.8" hidden="false" customHeight="false" outlineLevel="0" collapsed="false">
      <c r="C19" s="7" t="s">
        <v>53</v>
      </c>
      <c r="E19" s="9" t="n">
        <f aca="false">F6*G6</f>
        <v>5000000</v>
      </c>
      <c r="G19" s="1" t="s">
        <v>50</v>
      </c>
    </row>
    <row r="20" customFormat="false" ht="13.8" hidden="false" customHeight="false" outlineLevel="0" collapsed="false">
      <c r="C20" s="7" t="s">
        <v>54</v>
      </c>
      <c r="E20" s="9" t="n">
        <f aca="false">F7*G7</f>
        <v>1350000</v>
      </c>
      <c r="G20" s="1" t="s">
        <v>48</v>
      </c>
    </row>
    <row r="21" customFormat="false" ht="15.75" hidden="false" customHeight="false" outlineLevel="0" collapsed="false">
      <c r="B21" s="7" t="s">
        <v>55</v>
      </c>
    </row>
    <row r="22" customFormat="false" ht="15.75" hidden="false" customHeight="false" outlineLevel="0" collapsed="false">
      <c r="B22" s="7" t="s">
        <v>56</v>
      </c>
      <c r="C22" s="7" t="s">
        <v>57</v>
      </c>
      <c r="E22" s="9" t="n">
        <f aca="false">SUM(E15:E20)</f>
        <v>50350000</v>
      </c>
    </row>
    <row r="23" customFormat="false" ht="15.75" hidden="false" customHeight="false" outlineLevel="0" collapsed="false">
      <c r="C23" s="7" t="s">
        <v>58</v>
      </c>
      <c r="E23" s="9" t="n">
        <f aca="false">SUM(F2:F7)</f>
        <v>9</v>
      </c>
    </row>
    <row r="24" customFormat="false" ht="13.8" hidden="false" customHeight="false" outlineLevel="0" collapsed="false">
      <c r="A24" s="8" t="s">
        <v>59</v>
      </c>
      <c r="B24" s="7" t="s">
        <v>60</v>
      </c>
      <c r="E24" s="10" t="s">
        <v>26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true" showOutlineSymbols="true" defaultGridColor="true" view="normal" topLeftCell="A1" colorId="64" zoomScale="167" zoomScaleNormal="167" zoomScalePageLayoutView="100" workbookViewId="0">
      <selection pane="topLeft" activeCell="H34" activeCellId="0" sqref="H34"/>
    </sheetView>
  </sheetViews>
  <sheetFormatPr defaultColWidth="12.6328125" defaultRowHeight="15.75" zeroHeight="false" outlineLevelRow="0" outlineLevelCol="0"/>
  <sheetData>
    <row r="1" customFormat="false" ht="15.75" hidden="false" customHeight="false" outlineLevel="0" collapsed="false">
      <c r="A1" s="7" t="s">
        <v>61</v>
      </c>
    </row>
    <row r="2" customFormat="false" ht="15.75" hidden="false" customHeight="false" outlineLevel="0" collapsed="false">
      <c r="A2" s="11" t="s">
        <v>62</v>
      </c>
    </row>
    <row r="3" customFormat="false" ht="15.75" hidden="false" customHeight="false" outlineLevel="0" collapsed="false">
      <c r="A3" s="11" t="s">
        <v>63</v>
      </c>
    </row>
    <row r="4" customFormat="false" ht="15.75" hidden="false" customHeight="false" outlineLevel="0" collapsed="false">
      <c r="A4" s="7" t="s">
        <v>64</v>
      </c>
    </row>
    <row r="5" customFormat="false" ht="15.75" hidden="false" customHeight="false" outlineLevel="0" collapsed="false">
      <c r="A5" s="11" t="s">
        <v>65</v>
      </c>
    </row>
    <row r="6" customFormat="false" ht="15.75" hidden="false" customHeight="false" outlineLevel="0" collapsed="false">
      <c r="A6" s="7" t="s">
        <v>66</v>
      </c>
    </row>
    <row r="7" customFormat="false" ht="15.75" hidden="false" customHeight="false" outlineLevel="0" collapsed="false">
      <c r="A7" s="11" t="s">
        <v>67</v>
      </c>
    </row>
    <row r="8" customFormat="false" ht="15.75" hidden="false" customHeight="false" outlineLevel="0" collapsed="false">
      <c r="A8" s="7" t="s">
        <v>68</v>
      </c>
    </row>
    <row r="9" customFormat="false" ht="12.8" hidden="false" customHeight="false" outlineLevel="0" collapsed="false">
      <c r="A9" s="11" t="s">
        <v>69</v>
      </c>
    </row>
    <row r="10" customFormat="false" ht="12.8" hidden="false" customHeight="false" outlineLevel="0" collapsed="false">
      <c r="A10" s="11" t="s">
        <v>70</v>
      </c>
    </row>
    <row r="11" customFormat="false" ht="15.75" hidden="false" customHeight="false" outlineLevel="0" collapsed="false">
      <c r="A11" s="7" t="s">
        <v>71</v>
      </c>
    </row>
    <row r="12" customFormat="false" ht="15.75" hidden="false" customHeight="false" outlineLevel="0" collapsed="false">
      <c r="A12" s="11" t="s">
        <v>72</v>
      </c>
    </row>
    <row r="13" customFormat="false" ht="15.75" hidden="false" customHeight="false" outlineLevel="0" collapsed="false">
      <c r="A13" s="7" t="s">
        <v>73</v>
      </c>
    </row>
    <row r="14" customFormat="false" ht="15.75" hidden="false" customHeight="false" outlineLevel="0" collapsed="false">
      <c r="A14" s="11" t="s">
        <v>74</v>
      </c>
    </row>
    <row r="15" customFormat="false" ht="15.75" hidden="false" customHeight="false" outlineLevel="0" collapsed="false">
      <c r="A15" s="7" t="s">
        <v>75</v>
      </c>
      <c r="F15" s="11" t="s">
        <v>76</v>
      </c>
    </row>
    <row r="16" customFormat="false" ht="15.75" hidden="false" customHeight="false" outlineLevel="0" collapsed="false">
      <c r="A16" s="11" t="s">
        <v>77</v>
      </c>
    </row>
    <row r="17" customFormat="false" ht="15.75" hidden="false" customHeight="false" outlineLevel="0" collapsed="false">
      <c r="A17" s="7" t="s">
        <v>78</v>
      </c>
    </row>
    <row r="18" customFormat="false" ht="12.8" hidden="false" customHeight="false" outlineLevel="0" collapsed="false">
      <c r="A18" s="11" t="s">
        <v>44</v>
      </c>
    </row>
    <row r="19" customFormat="false" ht="15.75" hidden="false" customHeight="false" outlineLevel="0" collapsed="false">
      <c r="A19" s="0" t="s">
        <v>79</v>
      </c>
    </row>
    <row r="21" customFormat="false" ht="12.8" hidden="false" customHeight="false" outlineLevel="0" collapsed="false">
      <c r="A21" s="12" t="s">
        <v>9</v>
      </c>
      <c r="B21" s="12" t="s">
        <v>12</v>
      </c>
      <c r="C21" s="13" t="s">
        <v>14</v>
      </c>
      <c r="D21" s="13" t="s">
        <v>15</v>
      </c>
    </row>
    <row r="22" customFormat="false" ht="12.8" hidden="false" customHeight="false" outlineLevel="0" collapsed="false">
      <c r="A22" s="14" t="s">
        <v>17</v>
      </c>
      <c r="B22" s="14" t="s">
        <v>19</v>
      </c>
      <c r="C22" s="15" t="n">
        <v>1</v>
      </c>
      <c r="D22" s="15" t="s">
        <v>80</v>
      </c>
    </row>
    <row r="23" customFormat="false" ht="12.8" hidden="false" customHeight="false" outlineLevel="0" collapsed="false">
      <c r="A23" s="14" t="s">
        <v>17</v>
      </c>
      <c r="B23" s="14" t="s">
        <v>24</v>
      </c>
      <c r="C23" s="15" t="n">
        <v>2</v>
      </c>
      <c r="D23" s="15" t="s">
        <v>81</v>
      </c>
    </row>
    <row r="24" customFormat="false" ht="12.8" hidden="false" customHeight="false" outlineLevel="0" collapsed="false">
      <c r="A24" s="14" t="s">
        <v>17</v>
      </c>
      <c r="B24" s="14" t="s">
        <v>28</v>
      </c>
      <c r="C24" s="15" t="n">
        <v>1</v>
      </c>
      <c r="D24" s="15" t="s">
        <v>82</v>
      </c>
    </row>
    <row r="25" customFormat="false" ht="12.8" hidden="false" customHeight="false" outlineLevel="0" collapsed="false">
      <c r="A25" s="14" t="s">
        <v>22</v>
      </c>
      <c r="B25" s="14" t="s">
        <v>19</v>
      </c>
      <c r="C25" s="15"/>
      <c r="D25" s="15" t="s">
        <v>83</v>
      </c>
    </row>
    <row r="27" customFormat="false" ht="15.75" hidden="false" customHeight="false" outlineLevel="0" collapsed="false">
      <c r="A27" s="0" t="s">
        <v>84</v>
      </c>
    </row>
    <row r="28" customFormat="false" ht="15.75" hidden="false" customHeight="false" outlineLevel="0" collapsed="false">
      <c r="A28" s="0" t="s">
        <v>85</v>
      </c>
    </row>
    <row r="30" customFormat="false" ht="15.75" hidden="false" customHeight="false" outlineLevel="0" collapsed="false">
      <c r="A30" s="16" t="s">
        <v>86</v>
      </c>
    </row>
    <row r="31" customFormat="false" ht="15.75" hidden="false" customHeight="false" outlineLevel="0" collapsed="false">
      <c r="A31" s="16" t="s">
        <v>87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68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2026-09-27T19:51:42Z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